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atsuyama\Desktop\DcokerImages\"/>
    </mc:Choice>
  </mc:AlternateContent>
  <xr:revisionPtr revIDLastSave="0" documentId="13_ncr:1_{6B81263F-394F-4066-AB86-1381B81135E8}" xr6:coauthVersionLast="47" xr6:coauthVersionMax="47" xr10:uidLastSave="{00000000-0000-0000-0000-000000000000}"/>
  <bookViews>
    <workbookView xWindow="-108" yWindow="-108" windowWidth="23256" windowHeight="12576" xr2:uid="{B119C2FE-47AF-46D9-9E42-6C30844B1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8" i="1" l="1"/>
  <c r="E68" i="1" s="1"/>
  <c r="D69" i="1"/>
  <c r="E69" i="1" s="1"/>
  <c r="D70" i="1"/>
  <c r="E70" i="1" s="1"/>
  <c r="D71" i="1"/>
  <c r="D72" i="1"/>
  <c r="E72" i="1" s="1"/>
  <c r="D73" i="1"/>
  <c r="E73" i="1" s="1"/>
  <c r="H68" i="1"/>
  <c r="F70" i="1"/>
  <c r="G70" i="1"/>
  <c r="H70" i="1"/>
  <c r="E71" i="1"/>
  <c r="F71" i="1"/>
  <c r="G71" i="1"/>
  <c r="H71" i="1"/>
  <c r="H72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2" i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1" i="1"/>
  <c r="E61" i="1" s="1"/>
  <c r="D60" i="1"/>
  <c r="D54" i="1"/>
  <c r="E54" i="1" s="1"/>
  <c r="D55" i="1"/>
  <c r="E55" i="1" s="1"/>
  <c r="D56" i="1"/>
  <c r="E56" i="1" s="1"/>
  <c r="D57" i="1"/>
  <c r="E57" i="1" s="1"/>
  <c r="D58" i="1"/>
  <c r="E58" i="1" s="1"/>
  <c r="D46" i="1"/>
  <c r="E46" i="1" s="1"/>
  <c r="D47" i="1"/>
  <c r="F47" i="1" s="1"/>
  <c r="E47" i="1"/>
  <c r="D48" i="1"/>
  <c r="E48" i="1" s="1"/>
  <c r="D49" i="1"/>
  <c r="F49" i="1" s="1"/>
  <c r="E49" i="1"/>
  <c r="D50" i="1"/>
  <c r="E50" i="1" s="1"/>
  <c r="D51" i="1"/>
  <c r="F51" i="1" s="1"/>
  <c r="D52" i="1"/>
  <c r="E52" i="1" s="1"/>
  <c r="D53" i="1"/>
  <c r="F53" i="1" s="1"/>
  <c r="D45" i="1"/>
  <c r="D44" i="1"/>
  <c r="F42" i="1"/>
  <c r="F41" i="1"/>
  <c r="D37" i="1"/>
  <c r="E37" i="1" s="1"/>
  <c r="D36" i="1"/>
  <c r="D35" i="1"/>
  <c r="D34" i="1"/>
  <c r="D33" i="1"/>
  <c r="E33" i="1" s="1"/>
  <c r="F2" i="1"/>
  <c r="F9" i="1"/>
  <c r="F17" i="1"/>
  <c r="F18" i="1"/>
  <c r="F25" i="1"/>
  <c r="F26" i="1"/>
  <c r="D2" i="1"/>
  <c r="E3" i="1"/>
  <c r="E9" i="1"/>
  <c r="E11" i="1"/>
  <c r="E17" i="1"/>
  <c r="E18" i="1"/>
  <c r="E19" i="1"/>
  <c r="E25" i="1"/>
  <c r="E26" i="1"/>
  <c r="E27" i="1"/>
  <c r="D3" i="1"/>
  <c r="F3" i="1" s="1"/>
  <c r="D4" i="1"/>
  <c r="E4" i="1" s="1"/>
  <c r="D5" i="1"/>
  <c r="E5" i="1" s="1"/>
  <c r="D6" i="1"/>
  <c r="E6" i="1" s="1"/>
  <c r="D7" i="1"/>
  <c r="E7" i="1" s="1"/>
  <c r="D8" i="1"/>
  <c r="E8" i="1" s="1"/>
  <c r="D9" i="1"/>
  <c r="D10" i="1"/>
  <c r="E10" i="1" s="1"/>
  <c r="D11" i="1"/>
  <c r="F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D18" i="1"/>
  <c r="D19" i="1"/>
  <c r="F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D26" i="1"/>
  <c r="D27" i="1"/>
  <c r="F27" i="1" s="1"/>
  <c r="D28" i="1"/>
  <c r="E28" i="1" s="1"/>
  <c r="D29" i="1"/>
  <c r="E29" i="1" s="1"/>
  <c r="D30" i="1"/>
  <c r="E30" i="1" s="1"/>
  <c r="D31" i="1"/>
  <c r="E31" i="1" s="1"/>
  <c r="G72" i="1" l="1"/>
  <c r="G68" i="1"/>
  <c r="F72" i="1"/>
  <c r="F68" i="1"/>
  <c r="G69" i="1"/>
  <c r="F73" i="1"/>
  <c r="F69" i="1"/>
  <c r="H73" i="1"/>
  <c r="H69" i="1"/>
  <c r="G73" i="1"/>
  <c r="H67" i="1"/>
  <c r="H66" i="1"/>
  <c r="G67" i="1"/>
  <c r="G66" i="1"/>
  <c r="H65" i="1"/>
  <c r="G65" i="1"/>
  <c r="F67" i="1"/>
  <c r="F65" i="1"/>
  <c r="F63" i="1"/>
  <c r="F66" i="1"/>
  <c r="F64" i="1"/>
  <c r="F62" i="1"/>
  <c r="F60" i="1"/>
  <c r="F61" i="1"/>
  <c r="E60" i="1"/>
  <c r="F57" i="1"/>
  <c r="F55" i="1"/>
  <c r="F58" i="1"/>
  <c r="F56" i="1"/>
  <c r="F54" i="1"/>
  <c r="E51" i="1"/>
  <c r="E53" i="1"/>
  <c r="F52" i="1"/>
  <c r="F50" i="1"/>
  <c r="F48" i="1"/>
  <c r="F46" i="1"/>
  <c r="E44" i="1"/>
  <c r="F44" i="1"/>
  <c r="E45" i="1"/>
  <c r="F45" i="1"/>
  <c r="E35" i="1"/>
  <c r="F35" i="1"/>
  <c r="F33" i="1"/>
  <c r="E34" i="1"/>
  <c r="E36" i="1"/>
  <c r="F34" i="1"/>
  <c r="F36" i="1"/>
  <c r="F24" i="1"/>
  <c r="F16" i="1"/>
  <c r="F8" i="1"/>
  <c r="F31" i="1"/>
  <c r="F23" i="1"/>
  <c r="F15" i="1"/>
  <c r="F7" i="1"/>
  <c r="F30" i="1"/>
  <c r="F22" i="1"/>
  <c r="F14" i="1"/>
  <c r="F6" i="1"/>
  <c r="F10" i="1"/>
  <c r="F29" i="1"/>
  <c r="F21" i="1"/>
  <c r="F13" i="1"/>
  <c r="F5" i="1"/>
  <c r="F28" i="1"/>
  <c r="F20" i="1"/>
  <c r="F12" i="1"/>
  <c r="F4" i="1"/>
  <c r="E2" i="1"/>
</calcChain>
</file>

<file path=xl/sharedStrings.xml><?xml version="1.0" encoding="utf-8"?>
<sst xmlns="http://schemas.openxmlformats.org/spreadsheetml/2006/main" count="122" uniqueCount="96">
  <si>
    <t>nats-streaming</t>
  </si>
  <si>
    <t>0.25.6</t>
  </si>
  <si>
    <t>rabbitmq</t>
  </si>
  <si>
    <t>3.12.9</t>
  </si>
  <si>
    <t>2.48.0</t>
  </si>
  <si>
    <t>prom/prometheus</t>
  </si>
  <si>
    <t>v2.48.0</t>
  </si>
  <si>
    <t>mariadb</t>
  </si>
  <si>
    <t>11.1.3</t>
  </si>
  <si>
    <t>mongo</t>
  </si>
  <si>
    <t>7.0.3</t>
  </si>
  <si>
    <t>grafana/grafana</t>
  </si>
  <si>
    <t>10.2.1</t>
  </si>
  <si>
    <t>elasticsearch</t>
  </si>
  <si>
    <t>8.11.1</t>
  </si>
  <si>
    <t>kibana</t>
  </si>
  <si>
    <t>redis</t>
  </si>
  <si>
    <t>7.2.3</t>
  </si>
  <si>
    <t>alpine3.18</t>
  </si>
  <si>
    <t>nats</t>
  </si>
  <si>
    <t>2.10.5</t>
  </si>
  <si>
    <t>postgres</t>
  </si>
  <si>
    <t>golang</t>
  </si>
  <si>
    <t>1.21.4</t>
  </si>
  <si>
    <t>nginx</t>
  </si>
  <si>
    <t>1.25.3</t>
  </si>
  <si>
    <t>erlang</t>
  </si>
  <si>
    <t>26.1.2.0</t>
  </si>
  <si>
    <t>3.12.8</t>
  </si>
  <si>
    <t>zookeeper</t>
  </si>
  <si>
    <t>3.9.1</t>
  </si>
  <si>
    <t>docker</t>
  </si>
  <si>
    <t>24.0.7</t>
  </si>
  <si>
    <t>mysql</t>
  </si>
  <si>
    <t>5.7.44</t>
  </si>
  <si>
    <t>registry</t>
  </si>
  <si>
    <t>2.8.3</t>
  </si>
  <si>
    <t>python</t>
  </si>
  <si>
    <t>3.12.0</t>
  </si>
  <si>
    <t>3.11.6</t>
  </si>
  <si>
    <t>traefik</t>
  </si>
  <si>
    <t>v3.0</t>
  </si>
  <si>
    <t>daprio/dapr</t>
  </si>
  <si>
    <t>1.12.0</t>
  </si>
  <si>
    <t>ubuntu/prometheus</t>
  </si>
  <si>
    <t>2.46.0-22.04</t>
  </si>
  <si>
    <t>alpine</t>
  </si>
  <si>
    <t>3.18.4</t>
  </si>
  <si>
    <t>apachepulsar/pulsar</t>
  </si>
  <si>
    <t>3.1.1</t>
  </si>
  <si>
    <t>3.12.9-management</t>
  </si>
  <si>
    <t>docker save registry:2.8.3 | gzip &gt; registry_2_8_3.tar.gz</t>
    <phoneticPr fontId="1"/>
  </si>
  <si>
    <t>bitnami/prometheus</t>
    <phoneticPr fontId="1"/>
  </si>
  <si>
    <t>split -b 23M -d daprio_daprd_1_10_1.tar.gz daprio_daprd_1_10_1.</t>
    <phoneticPr fontId="1"/>
  </si>
  <si>
    <t>cat xa* &gt;&gt; daprd_latest.tar.gz</t>
    <phoneticPr fontId="1"/>
  </si>
  <si>
    <t>envoyproxy/envoy</t>
  </si>
  <si>
    <t>v1.28-latest</t>
    <phoneticPr fontId="1"/>
  </si>
  <si>
    <t>distroless-v1.28-latest</t>
    <phoneticPr fontId="1"/>
  </si>
  <si>
    <t>google-vrp-v1.28-latest</t>
    <phoneticPr fontId="1"/>
  </si>
  <si>
    <t>tools-v1.28-latest</t>
    <phoneticPr fontId="1"/>
  </si>
  <si>
    <t>google/apigee-envoy-adapter</t>
    <phoneticPr fontId="1"/>
  </si>
  <si>
    <t>v2.1.1</t>
    <phoneticPr fontId="1"/>
  </si>
  <si>
    <t>podman-desktop-1.5.3-setup-x64.exe</t>
  </si>
  <si>
    <t>podman-desktop-airgap-1.5.3-setup-x64.exe</t>
  </si>
  <si>
    <t>openzipkin/zipkin-slim</t>
  </si>
  <si>
    <t>openzipkin/zipkin</t>
  </si>
  <si>
    <t>mcr.microsoft.com/mssql/server</t>
  </si>
  <si>
    <t>2022-latest</t>
  </si>
  <si>
    <t>datalust/seq</t>
  </si>
  <si>
    <t>2019-latest</t>
  </si>
  <si>
    <t>maildev/maildev</t>
  </si>
  <si>
    <t>2.1.0</t>
  </si>
  <si>
    <t>mcr.microsoft.com/azure-sql-edge</t>
  </si>
  <si>
    <t>latest</t>
  </si>
  <si>
    <t>logstash</t>
  </si>
  <si>
    <t>7.17.15</t>
  </si>
  <si>
    <t>kindest/node</t>
    <phoneticPr fontId="1"/>
  </si>
  <si>
    <t>v1.28.0</t>
    <phoneticPr fontId="1"/>
  </si>
  <si>
    <t>v1.16.5</t>
    <phoneticPr fontId="1"/>
  </si>
  <si>
    <t>dpage/pgadmin4</t>
    <phoneticPr fontId="1"/>
  </si>
  <si>
    <t>portainer/portainer-ce</t>
  </si>
  <si>
    <t>portainer/portainer-ce</t>
    <phoneticPr fontId="1"/>
  </si>
  <si>
    <t>2.19.4-alpine</t>
    <phoneticPr fontId="1"/>
  </si>
  <si>
    <t>2.19.4</t>
  </si>
  <si>
    <t>docker load &lt; daprd_latest.tar.gz</t>
    <phoneticPr fontId="1"/>
  </si>
  <si>
    <t>masstransit/rabbitmq</t>
    <phoneticPr fontId="1"/>
  </si>
  <si>
    <t>3.12.7</t>
    <phoneticPr fontId="1"/>
  </si>
  <si>
    <t>8.11.3</t>
  </si>
  <si>
    <t>docker.elastic.co/beats/heartbeat</t>
  </si>
  <si>
    <t>docker.elastic.co/beats/metricbeat</t>
  </si>
  <si>
    <t>docker.elastic.co/beats/packetbeat</t>
  </si>
  <si>
    <t>docker.elastic.co/beats/filebeat</t>
  </si>
  <si>
    <t>docker.elastic.co/beats/auditbeat</t>
  </si>
  <si>
    <t>docker.elastic.co/logstash/logstash</t>
  </si>
  <si>
    <t>docker.elastic.co/kibana/kibana</t>
    <phoneticPr fontId="1"/>
  </si>
  <si>
    <t>docker.elastic.co/elasticsearch/elasticsearch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</si>
</sst>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21CB6-3DC9-4C31-9E09-9A068C091DAF}">
  <dimension ref="A1:H73"/>
  <sheetViews>
    <sheetView tabSelected="1" zoomScale="80" zoomScaleNormal="80" workbookViewId="0"/>
  </sheetViews>
  <sheetFormatPr defaultRowHeight="18" x14ac:dyDescent="0.45"/>
  <cols>
    <col min="1" max="1" width="55.19921875" bestFit="1" customWidth="1"/>
    <col min="2" max="2" width="18.69921875" bestFit="1" customWidth="1"/>
    <col min="3" max="3" width="3.3984375" customWidth="1"/>
    <col min="4" max="4" width="27.19921875" bestFit="1" customWidth="1"/>
    <col min="5" max="5" width="106.5" bestFit="1" customWidth="1"/>
    <col min="6" max="6" width="89" bestFit="1" customWidth="1"/>
    <col min="7" max="7" width="82.19921875" bestFit="1" customWidth="1"/>
    <col min="8" max="8" width="27.69921875" bestFit="1" customWidth="1"/>
  </cols>
  <sheetData>
    <row r="1" spans="1:8" x14ac:dyDescent="0.45">
      <c r="E1" s="1" t="s">
        <v>51</v>
      </c>
      <c r="F1" s="2" t="s">
        <v>53</v>
      </c>
      <c r="G1" s="1" t="s">
        <v>54</v>
      </c>
      <c r="H1" s="1" t="s">
        <v>84</v>
      </c>
    </row>
    <row r="2" spans="1:8" x14ac:dyDescent="0.45">
      <c r="A2" t="s">
        <v>0</v>
      </c>
      <c r="B2" t="s">
        <v>1</v>
      </c>
      <c r="D2" t="str">
        <f t="shared" ref="D2:D31" si="0">SUBSTITUTE(A2,"/","_")&amp;"_"&amp;SUBSTITUTE(B2,".","_")&amp;".tar.gz"</f>
        <v>nats-streaming_0_25_6.tar.gz</v>
      </c>
      <c r="E2" t="str">
        <f t="shared" ref="E2:E31" si="1">"docker save "&amp;A2&amp;":"&amp;B2&amp;" | gzip &gt; "&amp;D2</f>
        <v>docker save nats-streaming:0.25.6 | gzip &gt; nats-streaming_0_25_6.tar.gz</v>
      </c>
      <c r="F2" t="str">
        <f>"split -b 23M -d "&amp;D2&amp;" "&amp;SUBSTITUTE(D2,".tar.gz",".")</f>
        <v>split -b 23M -d nats-streaming_0_25_6.tar.gz nats-streaming_0_25_6.</v>
      </c>
      <c r="G2" t="str">
        <f>"cat "&amp;SUBSTITUTE(D2,".tar.gz",".*")&amp;" &gt;&gt; "&amp;D2</f>
        <v>cat nats-streaming_0_25_6.* &gt;&gt; nats-streaming_0_25_6.tar.gz</v>
      </c>
      <c r="H2" t="str">
        <f>"docker load &lt; "&amp;D2</f>
        <v>docker load &lt; nats-streaming_0_25_6.tar.gz</v>
      </c>
    </row>
    <row r="3" spans="1:8" x14ac:dyDescent="0.45">
      <c r="A3" t="s">
        <v>2</v>
      </c>
      <c r="B3" t="s">
        <v>3</v>
      </c>
      <c r="D3" t="str">
        <f t="shared" si="0"/>
        <v>rabbitmq_3_12_9.tar.gz</v>
      </c>
      <c r="E3" t="str">
        <f t="shared" si="1"/>
        <v>docker save rabbitmq:3.12.9 | gzip &gt; rabbitmq_3_12_9.tar.gz</v>
      </c>
      <c r="F3" t="str">
        <f t="shared" ref="F3:F31" si="2">"split -b 23M -d "&amp;D3&amp;" "&amp;SUBSTITUTE(D3,".tar.gz",".")</f>
        <v>split -b 23M -d rabbitmq_3_12_9.tar.gz rabbitmq_3_12_9.</v>
      </c>
      <c r="G3" t="str">
        <f t="shared" ref="G3:G66" si="3">"cat "&amp;SUBSTITUTE(D3,".tar.gz",".*")&amp;" &gt;&gt; "&amp;D3</f>
        <v>cat rabbitmq_3_12_9.* &gt;&gt; rabbitmq_3_12_9.tar.gz</v>
      </c>
      <c r="H3" t="str">
        <f t="shared" ref="H3:H66" si="4">"docker load &lt; "&amp;D3</f>
        <v>docker load &lt; rabbitmq_3_12_9.tar.gz</v>
      </c>
    </row>
    <row r="4" spans="1:8" x14ac:dyDescent="0.45">
      <c r="A4" t="s">
        <v>52</v>
      </c>
      <c r="B4" t="s">
        <v>4</v>
      </c>
      <c r="D4" t="str">
        <f t="shared" si="0"/>
        <v>bitnami_prometheus_2_48_0.tar.gz</v>
      </c>
      <c r="E4" t="str">
        <f t="shared" si="1"/>
        <v>docker save bitnami/prometheus:2.48.0 | gzip &gt; bitnami_prometheus_2_48_0.tar.gz</v>
      </c>
      <c r="F4" t="str">
        <f t="shared" si="2"/>
        <v>split -b 23M -d bitnami_prometheus_2_48_0.tar.gz bitnami_prometheus_2_48_0.</v>
      </c>
      <c r="G4" t="str">
        <f t="shared" si="3"/>
        <v>cat bitnami_prometheus_2_48_0.* &gt;&gt; bitnami_prometheus_2_48_0.tar.gz</v>
      </c>
      <c r="H4" t="str">
        <f t="shared" si="4"/>
        <v>docker load &lt; bitnami_prometheus_2_48_0.tar.gz</v>
      </c>
    </row>
    <row r="5" spans="1:8" x14ac:dyDescent="0.45">
      <c r="A5" t="s">
        <v>5</v>
      </c>
      <c r="B5" t="s">
        <v>6</v>
      </c>
      <c r="D5" t="str">
        <f t="shared" si="0"/>
        <v>prom_prometheus_v2_48_0.tar.gz</v>
      </c>
      <c r="E5" t="str">
        <f t="shared" si="1"/>
        <v>docker save prom/prometheus:v2.48.0 | gzip &gt; prom_prometheus_v2_48_0.tar.gz</v>
      </c>
      <c r="F5" t="str">
        <f t="shared" si="2"/>
        <v>split -b 23M -d prom_prometheus_v2_48_0.tar.gz prom_prometheus_v2_48_0.</v>
      </c>
      <c r="G5" t="str">
        <f t="shared" si="3"/>
        <v>cat prom_prometheus_v2_48_0.* &gt;&gt; prom_prometheus_v2_48_0.tar.gz</v>
      </c>
      <c r="H5" t="str">
        <f t="shared" si="4"/>
        <v>docker load &lt; prom_prometheus_v2_48_0.tar.gz</v>
      </c>
    </row>
    <row r="6" spans="1:8" x14ac:dyDescent="0.45">
      <c r="A6" t="s">
        <v>7</v>
      </c>
      <c r="B6" t="s">
        <v>8</v>
      </c>
      <c r="D6" t="str">
        <f t="shared" si="0"/>
        <v>mariadb_11_1_3.tar.gz</v>
      </c>
      <c r="E6" t="str">
        <f t="shared" si="1"/>
        <v>docker save mariadb:11.1.3 | gzip &gt; mariadb_11_1_3.tar.gz</v>
      </c>
      <c r="F6" t="str">
        <f t="shared" si="2"/>
        <v>split -b 23M -d mariadb_11_1_3.tar.gz mariadb_11_1_3.</v>
      </c>
      <c r="G6" t="str">
        <f t="shared" si="3"/>
        <v>cat mariadb_11_1_3.* &gt;&gt; mariadb_11_1_3.tar.gz</v>
      </c>
      <c r="H6" t="str">
        <f t="shared" si="4"/>
        <v>docker load &lt; mariadb_11_1_3.tar.gz</v>
      </c>
    </row>
    <row r="7" spans="1:8" x14ac:dyDescent="0.45">
      <c r="A7" t="s">
        <v>9</v>
      </c>
      <c r="B7" t="s">
        <v>10</v>
      </c>
      <c r="D7" t="str">
        <f t="shared" si="0"/>
        <v>mongo_7_0_3.tar.gz</v>
      </c>
      <c r="E7" t="str">
        <f t="shared" si="1"/>
        <v>docker save mongo:7.0.3 | gzip &gt; mongo_7_0_3.tar.gz</v>
      </c>
      <c r="F7" t="str">
        <f t="shared" si="2"/>
        <v>split -b 23M -d mongo_7_0_3.tar.gz mongo_7_0_3.</v>
      </c>
      <c r="G7" t="str">
        <f t="shared" si="3"/>
        <v>cat mongo_7_0_3.* &gt;&gt; mongo_7_0_3.tar.gz</v>
      </c>
      <c r="H7" t="str">
        <f t="shared" si="4"/>
        <v>docker load &lt; mongo_7_0_3.tar.gz</v>
      </c>
    </row>
    <row r="8" spans="1:8" x14ac:dyDescent="0.45">
      <c r="A8" t="s">
        <v>11</v>
      </c>
      <c r="B8" t="s">
        <v>12</v>
      </c>
      <c r="D8" t="str">
        <f t="shared" si="0"/>
        <v>grafana_grafana_10_2_1.tar.gz</v>
      </c>
      <c r="E8" t="str">
        <f t="shared" si="1"/>
        <v>docker save grafana/grafana:10.2.1 | gzip &gt; grafana_grafana_10_2_1.tar.gz</v>
      </c>
      <c r="F8" t="str">
        <f t="shared" si="2"/>
        <v>split -b 23M -d grafana_grafana_10_2_1.tar.gz grafana_grafana_10_2_1.</v>
      </c>
      <c r="G8" t="str">
        <f t="shared" si="3"/>
        <v>cat grafana_grafana_10_2_1.* &gt;&gt; grafana_grafana_10_2_1.tar.gz</v>
      </c>
      <c r="H8" t="str">
        <f t="shared" si="4"/>
        <v>docker load &lt; grafana_grafana_10_2_1.tar.gz</v>
      </c>
    </row>
    <row r="9" spans="1:8" x14ac:dyDescent="0.45">
      <c r="A9" t="s">
        <v>13</v>
      </c>
      <c r="B9" t="s">
        <v>14</v>
      </c>
      <c r="D9" t="str">
        <f t="shared" si="0"/>
        <v>elasticsearch_8_11_1.tar.gz</v>
      </c>
      <c r="E9" t="str">
        <f t="shared" si="1"/>
        <v>docker save elasticsearch:8.11.1 | gzip &gt; elasticsearch_8_11_1.tar.gz</v>
      </c>
      <c r="F9" t="str">
        <f t="shared" si="2"/>
        <v>split -b 23M -d elasticsearch_8_11_1.tar.gz elasticsearch_8_11_1.</v>
      </c>
      <c r="G9" t="str">
        <f t="shared" si="3"/>
        <v>cat elasticsearch_8_11_1.* &gt;&gt; elasticsearch_8_11_1.tar.gz</v>
      </c>
      <c r="H9" t="str">
        <f t="shared" si="4"/>
        <v>docker load &lt; elasticsearch_8_11_1.tar.gz</v>
      </c>
    </row>
    <row r="10" spans="1:8" x14ac:dyDescent="0.45">
      <c r="A10" t="s">
        <v>15</v>
      </c>
      <c r="B10" t="s">
        <v>14</v>
      </c>
      <c r="D10" t="str">
        <f t="shared" si="0"/>
        <v>kibana_8_11_1.tar.gz</v>
      </c>
      <c r="E10" t="str">
        <f t="shared" si="1"/>
        <v>docker save kibana:8.11.1 | gzip &gt; kibana_8_11_1.tar.gz</v>
      </c>
      <c r="F10" t="str">
        <f t="shared" si="2"/>
        <v>split -b 23M -d kibana_8_11_1.tar.gz kibana_8_11_1.</v>
      </c>
      <c r="G10" t="str">
        <f t="shared" si="3"/>
        <v>cat kibana_8_11_1.* &gt;&gt; kibana_8_11_1.tar.gz</v>
      </c>
      <c r="H10" t="str">
        <f t="shared" si="4"/>
        <v>docker load &lt; kibana_8_11_1.tar.gz</v>
      </c>
    </row>
    <row r="11" spans="1:8" x14ac:dyDescent="0.45">
      <c r="A11" t="s">
        <v>16</v>
      </c>
      <c r="B11" t="s">
        <v>17</v>
      </c>
      <c r="D11" t="str">
        <f t="shared" si="0"/>
        <v>redis_7_2_3.tar.gz</v>
      </c>
      <c r="E11" t="str">
        <f t="shared" si="1"/>
        <v>docker save redis:7.2.3 | gzip &gt; redis_7_2_3.tar.gz</v>
      </c>
      <c r="F11" t="str">
        <f t="shared" si="2"/>
        <v>split -b 23M -d redis_7_2_3.tar.gz redis_7_2_3.</v>
      </c>
      <c r="G11" t="str">
        <f t="shared" si="3"/>
        <v>cat redis_7_2_3.* &gt;&gt; redis_7_2_3.tar.gz</v>
      </c>
      <c r="H11" t="str">
        <f t="shared" si="4"/>
        <v>docker load &lt; redis_7_2_3.tar.gz</v>
      </c>
    </row>
    <row r="12" spans="1:8" x14ac:dyDescent="0.45">
      <c r="A12" t="s">
        <v>16</v>
      </c>
      <c r="B12" t="s">
        <v>18</v>
      </c>
      <c r="D12" t="str">
        <f t="shared" si="0"/>
        <v>redis_alpine3_18.tar.gz</v>
      </c>
      <c r="E12" t="str">
        <f t="shared" si="1"/>
        <v>docker save redis:alpine3.18 | gzip &gt; redis_alpine3_18.tar.gz</v>
      </c>
      <c r="F12" t="str">
        <f t="shared" si="2"/>
        <v>split -b 23M -d redis_alpine3_18.tar.gz redis_alpine3_18.</v>
      </c>
      <c r="G12" t="str">
        <f t="shared" si="3"/>
        <v>cat redis_alpine3_18.* &gt;&gt; redis_alpine3_18.tar.gz</v>
      </c>
      <c r="H12" t="str">
        <f t="shared" si="4"/>
        <v>docker load &lt; redis_alpine3_18.tar.gz</v>
      </c>
    </row>
    <row r="13" spans="1:8" x14ac:dyDescent="0.45">
      <c r="A13" t="s">
        <v>19</v>
      </c>
      <c r="B13" t="s">
        <v>20</v>
      </c>
      <c r="D13" t="str">
        <f t="shared" si="0"/>
        <v>nats_2_10_5.tar.gz</v>
      </c>
      <c r="E13" t="str">
        <f t="shared" si="1"/>
        <v>docker save nats:2.10.5 | gzip &gt; nats_2_10_5.tar.gz</v>
      </c>
      <c r="F13" t="str">
        <f t="shared" si="2"/>
        <v>split -b 23M -d nats_2_10_5.tar.gz nats_2_10_5.</v>
      </c>
      <c r="G13" t="str">
        <f t="shared" si="3"/>
        <v>cat nats_2_10_5.* &gt;&gt; nats_2_10_5.tar.gz</v>
      </c>
      <c r="H13" t="str">
        <f t="shared" si="4"/>
        <v>docker load &lt; nats_2_10_5.tar.gz</v>
      </c>
    </row>
    <row r="14" spans="1:8" x14ac:dyDescent="0.45">
      <c r="A14" t="s">
        <v>21</v>
      </c>
      <c r="B14">
        <v>16.100000000000001</v>
      </c>
      <c r="D14" t="str">
        <f t="shared" si="0"/>
        <v>postgres_16_1.tar.gz</v>
      </c>
      <c r="E14" t="str">
        <f t="shared" si="1"/>
        <v>docker save postgres:16.1 | gzip &gt; postgres_16_1.tar.gz</v>
      </c>
      <c r="F14" t="str">
        <f t="shared" si="2"/>
        <v>split -b 23M -d postgres_16_1.tar.gz postgres_16_1.</v>
      </c>
      <c r="G14" t="str">
        <f t="shared" si="3"/>
        <v>cat postgres_16_1.* &gt;&gt; postgres_16_1.tar.gz</v>
      </c>
      <c r="H14" t="str">
        <f t="shared" si="4"/>
        <v>docker load &lt; postgres_16_1.tar.gz</v>
      </c>
    </row>
    <row r="15" spans="1:8" x14ac:dyDescent="0.45">
      <c r="A15" t="s">
        <v>21</v>
      </c>
      <c r="B15">
        <v>12.17</v>
      </c>
      <c r="D15" t="str">
        <f t="shared" si="0"/>
        <v>postgres_12_17.tar.gz</v>
      </c>
      <c r="E15" t="str">
        <f t="shared" si="1"/>
        <v>docker save postgres:12.17 | gzip &gt; postgres_12_17.tar.gz</v>
      </c>
      <c r="F15" t="str">
        <f t="shared" si="2"/>
        <v>split -b 23M -d postgres_12_17.tar.gz postgres_12_17.</v>
      </c>
      <c r="G15" t="str">
        <f t="shared" si="3"/>
        <v>cat postgres_12_17.* &gt;&gt; postgres_12_17.tar.gz</v>
      </c>
      <c r="H15" t="str">
        <f t="shared" si="4"/>
        <v>docker load &lt; postgres_12_17.tar.gz</v>
      </c>
    </row>
    <row r="16" spans="1:8" x14ac:dyDescent="0.45">
      <c r="A16" t="s">
        <v>22</v>
      </c>
      <c r="B16" t="s">
        <v>23</v>
      </c>
      <c r="D16" t="str">
        <f t="shared" si="0"/>
        <v>golang_1_21_4.tar.gz</v>
      </c>
      <c r="E16" t="str">
        <f t="shared" si="1"/>
        <v>docker save golang:1.21.4 | gzip &gt; golang_1_21_4.tar.gz</v>
      </c>
      <c r="F16" t="str">
        <f t="shared" si="2"/>
        <v>split -b 23M -d golang_1_21_4.tar.gz golang_1_21_4.</v>
      </c>
      <c r="G16" t="str">
        <f t="shared" si="3"/>
        <v>cat golang_1_21_4.* &gt;&gt; golang_1_21_4.tar.gz</v>
      </c>
      <c r="H16" t="str">
        <f t="shared" si="4"/>
        <v>docker load &lt; golang_1_21_4.tar.gz</v>
      </c>
    </row>
    <row r="17" spans="1:8" x14ac:dyDescent="0.45">
      <c r="A17" t="s">
        <v>24</v>
      </c>
      <c r="B17" t="s">
        <v>25</v>
      </c>
      <c r="D17" t="str">
        <f t="shared" si="0"/>
        <v>nginx_1_25_3.tar.gz</v>
      </c>
      <c r="E17" t="str">
        <f t="shared" si="1"/>
        <v>docker save nginx:1.25.3 | gzip &gt; nginx_1_25_3.tar.gz</v>
      </c>
      <c r="F17" t="str">
        <f t="shared" si="2"/>
        <v>split -b 23M -d nginx_1_25_3.tar.gz nginx_1_25_3.</v>
      </c>
      <c r="G17" t="str">
        <f t="shared" si="3"/>
        <v>cat nginx_1_25_3.* &gt;&gt; nginx_1_25_3.tar.gz</v>
      </c>
      <c r="H17" t="str">
        <f t="shared" si="4"/>
        <v>docker load &lt; nginx_1_25_3.tar.gz</v>
      </c>
    </row>
    <row r="18" spans="1:8" x14ac:dyDescent="0.45">
      <c r="A18" t="s">
        <v>26</v>
      </c>
      <c r="B18" t="s">
        <v>27</v>
      </c>
      <c r="D18" t="str">
        <f t="shared" si="0"/>
        <v>erlang_26_1_2_0.tar.gz</v>
      </c>
      <c r="E18" t="str">
        <f t="shared" si="1"/>
        <v>docker save erlang:26.1.2.0 | gzip &gt; erlang_26_1_2_0.tar.gz</v>
      </c>
      <c r="F18" t="str">
        <f t="shared" si="2"/>
        <v>split -b 23M -d erlang_26_1_2_0.tar.gz erlang_26_1_2_0.</v>
      </c>
      <c r="G18" t="str">
        <f t="shared" si="3"/>
        <v>cat erlang_26_1_2_0.* &gt;&gt; erlang_26_1_2_0.tar.gz</v>
      </c>
      <c r="H18" t="str">
        <f t="shared" si="4"/>
        <v>docker load &lt; erlang_26_1_2_0.tar.gz</v>
      </c>
    </row>
    <row r="19" spans="1:8" x14ac:dyDescent="0.45">
      <c r="A19" t="s">
        <v>2</v>
      </c>
      <c r="B19" t="s">
        <v>28</v>
      </c>
      <c r="D19" t="str">
        <f t="shared" si="0"/>
        <v>rabbitmq_3_12_8.tar.gz</v>
      </c>
      <c r="E19" t="str">
        <f t="shared" si="1"/>
        <v>docker save rabbitmq:3.12.8 | gzip &gt; rabbitmq_3_12_8.tar.gz</v>
      </c>
      <c r="F19" t="str">
        <f t="shared" si="2"/>
        <v>split -b 23M -d rabbitmq_3_12_8.tar.gz rabbitmq_3_12_8.</v>
      </c>
      <c r="G19" t="str">
        <f t="shared" si="3"/>
        <v>cat rabbitmq_3_12_8.* &gt;&gt; rabbitmq_3_12_8.tar.gz</v>
      </c>
      <c r="H19" t="str">
        <f t="shared" si="4"/>
        <v>docker load &lt; rabbitmq_3_12_8.tar.gz</v>
      </c>
    </row>
    <row r="20" spans="1:8" x14ac:dyDescent="0.45">
      <c r="A20" t="s">
        <v>29</v>
      </c>
      <c r="B20" t="s">
        <v>30</v>
      </c>
      <c r="D20" t="str">
        <f t="shared" si="0"/>
        <v>zookeeper_3_9_1.tar.gz</v>
      </c>
      <c r="E20" t="str">
        <f t="shared" si="1"/>
        <v>docker save zookeeper:3.9.1 | gzip &gt; zookeeper_3_9_1.tar.gz</v>
      </c>
      <c r="F20" t="str">
        <f t="shared" si="2"/>
        <v>split -b 23M -d zookeeper_3_9_1.tar.gz zookeeper_3_9_1.</v>
      </c>
      <c r="G20" t="str">
        <f t="shared" si="3"/>
        <v>cat zookeeper_3_9_1.* &gt;&gt; zookeeper_3_9_1.tar.gz</v>
      </c>
      <c r="H20" t="str">
        <f t="shared" si="4"/>
        <v>docker load &lt; zookeeper_3_9_1.tar.gz</v>
      </c>
    </row>
    <row r="21" spans="1:8" x14ac:dyDescent="0.45">
      <c r="A21" t="s">
        <v>31</v>
      </c>
      <c r="B21" t="s">
        <v>32</v>
      </c>
      <c r="D21" t="str">
        <f t="shared" si="0"/>
        <v>docker_24_0_7.tar.gz</v>
      </c>
      <c r="E21" t="str">
        <f t="shared" si="1"/>
        <v>docker save docker:24.0.7 | gzip &gt; docker_24_0_7.tar.gz</v>
      </c>
      <c r="F21" t="str">
        <f t="shared" si="2"/>
        <v>split -b 23M -d docker_24_0_7.tar.gz docker_24_0_7.</v>
      </c>
      <c r="G21" t="str">
        <f t="shared" si="3"/>
        <v>cat docker_24_0_7.* &gt;&gt; docker_24_0_7.tar.gz</v>
      </c>
      <c r="H21" t="str">
        <f t="shared" si="4"/>
        <v>docker load &lt; docker_24_0_7.tar.gz</v>
      </c>
    </row>
    <row r="22" spans="1:8" x14ac:dyDescent="0.45">
      <c r="A22" t="s">
        <v>33</v>
      </c>
      <c r="B22" t="s">
        <v>34</v>
      </c>
      <c r="D22" t="str">
        <f t="shared" si="0"/>
        <v>mysql_5_7_44.tar.gz</v>
      </c>
      <c r="E22" t="str">
        <f t="shared" si="1"/>
        <v>docker save mysql:5.7.44 | gzip &gt; mysql_5_7_44.tar.gz</v>
      </c>
      <c r="F22" t="str">
        <f t="shared" si="2"/>
        <v>split -b 23M -d mysql_5_7_44.tar.gz mysql_5_7_44.</v>
      </c>
      <c r="G22" t="str">
        <f t="shared" si="3"/>
        <v>cat mysql_5_7_44.* &gt;&gt; mysql_5_7_44.tar.gz</v>
      </c>
      <c r="H22" t="str">
        <f t="shared" si="4"/>
        <v>docker load &lt; mysql_5_7_44.tar.gz</v>
      </c>
    </row>
    <row r="23" spans="1:8" x14ac:dyDescent="0.45">
      <c r="A23" t="s">
        <v>35</v>
      </c>
      <c r="B23" t="s">
        <v>36</v>
      </c>
      <c r="D23" t="str">
        <f t="shared" si="0"/>
        <v>registry_2_8_3.tar.gz</v>
      </c>
      <c r="E23" t="str">
        <f t="shared" si="1"/>
        <v>docker save registry:2.8.3 | gzip &gt; registry_2_8_3.tar.gz</v>
      </c>
      <c r="F23" t="str">
        <f t="shared" si="2"/>
        <v>split -b 23M -d registry_2_8_3.tar.gz registry_2_8_3.</v>
      </c>
      <c r="G23" t="str">
        <f t="shared" si="3"/>
        <v>cat registry_2_8_3.* &gt;&gt; registry_2_8_3.tar.gz</v>
      </c>
      <c r="H23" t="str">
        <f t="shared" si="4"/>
        <v>docker load &lt; registry_2_8_3.tar.gz</v>
      </c>
    </row>
    <row r="24" spans="1:8" x14ac:dyDescent="0.45">
      <c r="A24" t="s">
        <v>37</v>
      </c>
      <c r="B24" t="s">
        <v>38</v>
      </c>
      <c r="D24" t="str">
        <f t="shared" si="0"/>
        <v>python_3_12_0.tar.gz</v>
      </c>
      <c r="E24" t="str">
        <f t="shared" si="1"/>
        <v>docker save python:3.12.0 | gzip &gt; python_3_12_0.tar.gz</v>
      </c>
      <c r="F24" t="str">
        <f t="shared" si="2"/>
        <v>split -b 23M -d python_3_12_0.tar.gz python_3_12_0.</v>
      </c>
      <c r="G24" t="str">
        <f t="shared" si="3"/>
        <v>cat python_3_12_0.* &gt;&gt; python_3_12_0.tar.gz</v>
      </c>
      <c r="H24" t="str">
        <f t="shared" si="4"/>
        <v>docker load &lt; python_3_12_0.tar.gz</v>
      </c>
    </row>
    <row r="25" spans="1:8" x14ac:dyDescent="0.45">
      <c r="A25" t="s">
        <v>37</v>
      </c>
      <c r="B25" t="s">
        <v>39</v>
      </c>
      <c r="D25" t="str">
        <f t="shared" si="0"/>
        <v>python_3_11_6.tar.gz</v>
      </c>
      <c r="E25" t="str">
        <f t="shared" si="1"/>
        <v>docker save python:3.11.6 | gzip &gt; python_3_11_6.tar.gz</v>
      </c>
      <c r="F25" t="str">
        <f t="shared" si="2"/>
        <v>split -b 23M -d python_3_11_6.tar.gz python_3_11_6.</v>
      </c>
      <c r="G25" t="str">
        <f t="shared" si="3"/>
        <v>cat python_3_11_6.* &gt;&gt; python_3_11_6.tar.gz</v>
      </c>
      <c r="H25" t="str">
        <f t="shared" si="4"/>
        <v>docker load &lt; python_3_11_6.tar.gz</v>
      </c>
    </row>
    <row r="26" spans="1:8" x14ac:dyDescent="0.45">
      <c r="A26" t="s">
        <v>40</v>
      </c>
      <c r="B26" t="s">
        <v>41</v>
      </c>
      <c r="D26" t="str">
        <f t="shared" si="0"/>
        <v>traefik_v3_0.tar.gz</v>
      </c>
      <c r="E26" t="str">
        <f t="shared" si="1"/>
        <v>docker save traefik:v3.0 | gzip &gt; traefik_v3_0.tar.gz</v>
      </c>
      <c r="F26" t="str">
        <f t="shared" si="2"/>
        <v>split -b 23M -d traefik_v3_0.tar.gz traefik_v3_0.</v>
      </c>
      <c r="G26" t="str">
        <f t="shared" si="3"/>
        <v>cat traefik_v3_0.* &gt;&gt; traefik_v3_0.tar.gz</v>
      </c>
      <c r="H26" t="str">
        <f t="shared" si="4"/>
        <v>docker load &lt; traefik_v3_0.tar.gz</v>
      </c>
    </row>
    <row r="27" spans="1:8" x14ac:dyDescent="0.45">
      <c r="A27" t="s">
        <v>42</v>
      </c>
      <c r="B27" t="s">
        <v>43</v>
      </c>
      <c r="D27" t="str">
        <f t="shared" si="0"/>
        <v>daprio_dapr_1_12_0.tar.gz</v>
      </c>
      <c r="E27" t="str">
        <f t="shared" si="1"/>
        <v>docker save daprio/dapr:1.12.0 | gzip &gt; daprio_dapr_1_12_0.tar.gz</v>
      </c>
      <c r="F27" t="str">
        <f t="shared" si="2"/>
        <v>split -b 23M -d daprio_dapr_1_12_0.tar.gz daprio_dapr_1_12_0.</v>
      </c>
      <c r="G27" t="str">
        <f t="shared" si="3"/>
        <v>cat daprio_dapr_1_12_0.* &gt;&gt; daprio_dapr_1_12_0.tar.gz</v>
      </c>
      <c r="H27" t="str">
        <f t="shared" si="4"/>
        <v>docker load &lt; daprio_dapr_1_12_0.tar.gz</v>
      </c>
    </row>
    <row r="28" spans="1:8" x14ac:dyDescent="0.45">
      <c r="A28" t="s">
        <v>44</v>
      </c>
      <c r="B28" t="s">
        <v>45</v>
      </c>
      <c r="D28" t="str">
        <f t="shared" si="0"/>
        <v>ubuntu_prometheus_2_46_0-22_04.tar.gz</v>
      </c>
      <c r="E28" t="str">
        <f t="shared" si="1"/>
        <v>docker save ubuntu/prometheus:2.46.0-22.04 | gzip &gt; ubuntu_prometheus_2_46_0-22_04.tar.gz</v>
      </c>
      <c r="F28" t="str">
        <f t="shared" si="2"/>
        <v>split -b 23M -d ubuntu_prometheus_2_46_0-22_04.tar.gz ubuntu_prometheus_2_46_0-22_04.</v>
      </c>
      <c r="G28" t="str">
        <f t="shared" si="3"/>
        <v>cat ubuntu_prometheus_2_46_0-22_04.* &gt;&gt; ubuntu_prometheus_2_46_0-22_04.tar.gz</v>
      </c>
      <c r="H28" t="str">
        <f t="shared" si="4"/>
        <v>docker load &lt; ubuntu_prometheus_2_46_0-22_04.tar.gz</v>
      </c>
    </row>
    <row r="29" spans="1:8" x14ac:dyDescent="0.45">
      <c r="A29" t="s">
        <v>46</v>
      </c>
      <c r="B29" t="s">
        <v>47</v>
      </c>
      <c r="D29" t="str">
        <f t="shared" si="0"/>
        <v>alpine_3_18_4.tar.gz</v>
      </c>
      <c r="E29" t="str">
        <f t="shared" si="1"/>
        <v>docker save alpine:3.18.4 | gzip &gt; alpine_3_18_4.tar.gz</v>
      </c>
      <c r="F29" t="str">
        <f t="shared" si="2"/>
        <v>split -b 23M -d alpine_3_18_4.tar.gz alpine_3_18_4.</v>
      </c>
      <c r="G29" t="str">
        <f t="shared" si="3"/>
        <v>cat alpine_3_18_4.* &gt;&gt; alpine_3_18_4.tar.gz</v>
      </c>
      <c r="H29" t="str">
        <f t="shared" si="4"/>
        <v>docker load &lt; alpine_3_18_4.tar.gz</v>
      </c>
    </row>
    <row r="30" spans="1:8" x14ac:dyDescent="0.45">
      <c r="A30" t="s">
        <v>48</v>
      </c>
      <c r="B30" t="s">
        <v>49</v>
      </c>
      <c r="D30" t="str">
        <f t="shared" si="0"/>
        <v>apachepulsar_pulsar_3_1_1.tar.gz</v>
      </c>
      <c r="E30" t="str">
        <f t="shared" si="1"/>
        <v>docker save apachepulsar/pulsar:3.1.1 | gzip &gt; apachepulsar_pulsar_3_1_1.tar.gz</v>
      </c>
      <c r="F30" t="str">
        <f t="shared" si="2"/>
        <v>split -b 23M -d apachepulsar_pulsar_3_1_1.tar.gz apachepulsar_pulsar_3_1_1.</v>
      </c>
      <c r="G30" t="str">
        <f t="shared" si="3"/>
        <v>cat apachepulsar_pulsar_3_1_1.* &gt;&gt; apachepulsar_pulsar_3_1_1.tar.gz</v>
      </c>
      <c r="H30" t="str">
        <f t="shared" si="4"/>
        <v>docker load &lt; apachepulsar_pulsar_3_1_1.tar.gz</v>
      </c>
    </row>
    <row r="31" spans="1:8" x14ac:dyDescent="0.45">
      <c r="A31" t="s">
        <v>2</v>
      </c>
      <c r="B31" t="s">
        <v>50</v>
      </c>
      <c r="D31" t="str">
        <f t="shared" si="0"/>
        <v>rabbitmq_3_12_9-management.tar.gz</v>
      </c>
      <c r="E31" t="str">
        <f t="shared" si="1"/>
        <v>docker save rabbitmq:3.12.9-management | gzip &gt; rabbitmq_3_12_9-management.tar.gz</v>
      </c>
      <c r="F31" t="str">
        <f t="shared" si="2"/>
        <v>split -b 23M -d rabbitmq_3_12_9-management.tar.gz rabbitmq_3_12_9-management.</v>
      </c>
      <c r="G31" t="str">
        <f t="shared" si="3"/>
        <v>cat rabbitmq_3_12_9-management.* &gt;&gt; rabbitmq_3_12_9-management.tar.gz</v>
      </c>
      <c r="H31" t="str">
        <f t="shared" si="4"/>
        <v>docker load &lt; rabbitmq_3_12_9-management.tar.gz</v>
      </c>
    </row>
    <row r="32" spans="1:8" x14ac:dyDescent="0.45">
      <c r="G32" t="str">
        <f t="shared" si="3"/>
        <v xml:space="preserve">cat  &gt;&gt; </v>
      </c>
      <c r="H32" t="str">
        <f t="shared" si="4"/>
        <v xml:space="preserve">docker load &lt; </v>
      </c>
    </row>
    <row r="33" spans="1:8" x14ac:dyDescent="0.45">
      <c r="A33" t="s">
        <v>55</v>
      </c>
      <c r="B33" t="s">
        <v>59</v>
      </c>
      <c r="D33" t="str">
        <f t="shared" ref="D33:D37" si="5">SUBSTITUTE(A33,"/","_")&amp;"_"&amp;SUBSTITUTE(B33,".","_")&amp;".tar.gz"</f>
        <v>envoyproxy_envoy_tools-v1_28-latest.tar.gz</v>
      </c>
      <c r="E33" t="str">
        <f t="shared" ref="E33:E37" si="6">"docker save "&amp;A33&amp;":"&amp;B33&amp;" | gzip &gt; "&amp;D33</f>
        <v>docker save envoyproxy/envoy:tools-v1.28-latest | gzip &gt; envoyproxy_envoy_tools-v1_28-latest.tar.gz</v>
      </c>
      <c r="F33" t="str">
        <f t="shared" ref="F33:F36" si="7">"split -b 23M -d "&amp;D33&amp;" "&amp;SUBSTITUTE(D33,".tar.gz",".")</f>
        <v>split -b 23M -d envoyproxy_envoy_tools-v1_28-latest.tar.gz envoyproxy_envoy_tools-v1_28-latest.</v>
      </c>
      <c r="G33" t="str">
        <f t="shared" si="3"/>
        <v>cat envoyproxy_envoy_tools-v1_28-latest.* &gt;&gt; envoyproxy_envoy_tools-v1_28-latest.tar.gz</v>
      </c>
      <c r="H33" t="str">
        <f t="shared" si="4"/>
        <v>docker load &lt; envoyproxy_envoy_tools-v1_28-latest.tar.gz</v>
      </c>
    </row>
    <row r="34" spans="1:8" x14ac:dyDescent="0.45">
      <c r="A34" t="s">
        <v>55</v>
      </c>
      <c r="B34" t="s">
        <v>58</v>
      </c>
      <c r="D34" t="str">
        <f t="shared" si="5"/>
        <v>envoyproxy_envoy_google-vrp-v1_28-latest.tar.gz</v>
      </c>
      <c r="E34" t="str">
        <f t="shared" si="6"/>
        <v>docker save envoyproxy/envoy:google-vrp-v1.28-latest | gzip &gt; envoyproxy_envoy_google-vrp-v1_28-latest.tar.gz</v>
      </c>
      <c r="F34" t="str">
        <f t="shared" si="7"/>
        <v>split -b 23M -d envoyproxy_envoy_google-vrp-v1_28-latest.tar.gz envoyproxy_envoy_google-vrp-v1_28-latest.</v>
      </c>
      <c r="G34" t="str">
        <f t="shared" si="3"/>
        <v>cat envoyproxy_envoy_google-vrp-v1_28-latest.* &gt;&gt; envoyproxy_envoy_google-vrp-v1_28-latest.tar.gz</v>
      </c>
      <c r="H34" t="str">
        <f t="shared" si="4"/>
        <v>docker load &lt; envoyproxy_envoy_google-vrp-v1_28-latest.tar.gz</v>
      </c>
    </row>
    <row r="35" spans="1:8" x14ac:dyDescent="0.45">
      <c r="A35" t="s">
        <v>55</v>
      </c>
      <c r="B35" t="s">
        <v>57</v>
      </c>
      <c r="D35" t="str">
        <f t="shared" si="5"/>
        <v>envoyproxy_envoy_distroless-v1_28-latest.tar.gz</v>
      </c>
      <c r="E35" t="str">
        <f t="shared" si="6"/>
        <v>docker save envoyproxy/envoy:distroless-v1.28-latest | gzip &gt; envoyproxy_envoy_distroless-v1_28-latest.tar.gz</v>
      </c>
      <c r="F35" t="str">
        <f t="shared" si="7"/>
        <v>split -b 23M -d envoyproxy_envoy_distroless-v1_28-latest.tar.gz envoyproxy_envoy_distroless-v1_28-latest.</v>
      </c>
      <c r="G35" t="str">
        <f t="shared" si="3"/>
        <v>cat envoyproxy_envoy_distroless-v1_28-latest.* &gt;&gt; envoyproxy_envoy_distroless-v1_28-latest.tar.gz</v>
      </c>
      <c r="H35" t="str">
        <f t="shared" si="4"/>
        <v>docker load &lt; envoyproxy_envoy_distroless-v1_28-latest.tar.gz</v>
      </c>
    </row>
    <row r="36" spans="1:8" x14ac:dyDescent="0.45">
      <c r="A36" t="s">
        <v>55</v>
      </c>
      <c r="B36" t="s">
        <v>56</v>
      </c>
      <c r="D36" t="str">
        <f t="shared" si="5"/>
        <v>envoyproxy_envoy_v1_28-latest.tar.gz</v>
      </c>
      <c r="E36" t="str">
        <f t="shared" si="6"/>
        <v>docker save envoyproxy/envoy:v1.28-latest | gzip &gt; envoyproxy_envoy_v1_28-latest.tar.gz</v>
      </c>
      <c r="F36" t="str">
        <f t="shared" si="7"/>
        <v>split -b 23M -d envoyproxy_envoy_v1_28-latest.tar.gz envoyproxy_envoy_v1_28-latest.</v>
      </c>
      <c r="G36" t="str">
        <f t="shared" si="3"/>
        <v>cat envoyproxy_envoy_v1_28-latest.* &gt;&gt; envoyproxy_envoy_v1_28-latest.tar.gz</v>
      </c>
      <c r="H36" t="str">
        <f t="shared" si="4"/>
        <v>docker load &lt; envoyproxy_envoy_v1_28-latest.tar.gz</v>
      </c>
    </row>
    <row r="37" spans="1:8" x14ac:dyDescent="0.45">
      <c r="A37" t="s">
        <v>60</v>
      </c>
      <c r="B37" t="s">
        <v>61</v>
      </c>
      <c r="D37" t="str">
        <f t="shared" si="5"/>
        <v>google_apigee-envoy-adapter_v2_1_1.tar.gz</v>
      </c>
      <c r="E37" t="str">
        <f t="shared" si="6"/>
        <v>docker save google/apigee-envoy-adapter:v2.1.1 | gzip &gt; google_apigee-envoy-adapter_v2_1_1.tar.gz</v>
      </c>
      <c r="G37" t="str">
        <f t="shared" si="3"/>
        <v>cat google_apigee-envoy-adapter_v2_1_1.* &gt;&gt; google_apigee-envoy-adapter_v2_1_1.tar.gz</v>
      </c>
      <c r="H37" t="str">
        <f t="shared" si="4"/>
        <v>docker load &lt; google_apigee-envoy-adapter_v2_1_1.tar.gz</v>
      </c>
    </row>
    <row r="38" spans="1:8" x14ac:dyDescent="0.45">
      <c r="G38" t="str">
        <f t="shared" si="3"/>
        <v xml:space="preserve">cat  &gt;&gt; </v>
      </c>
      <c r="H38" t="str">
        <f t="shared" si="4"/>
        <v xml:space="preserve">docker load &lt; </v>
      </c>
    </row>
    <row r="39" spans="1:8" x14ac:dyDescent="0.45">
      <c r="G39" t="str">
        <f t="shared" si="3"/>
        <v xml:space="preserve">cat  &gt;&gt; </v>
      </c>
      <c r="H39" t="str">
        <f t="shared" si="4"/>
        <v xml:space="preserve">docker load &lt; </v>
      </c>
    </row>
    <row r="40" spans="1:8" x14ac:dyDescent="0.45">
      <c r="G40" t="str">
        <f t="shared" si="3"/>
        <v xml:space="preserve">cat  &gt;&gt; </v>
      </c>
      <c r="H40" t="str">
        <f t="shared" si="4"/>
        <v xml:space="preserve">docker load &lt; </v>
      </c>
    </row>
    <row r="41" spans="1:8" x14ac:dyDescent="0.45">
      <c r="A41" t="s">
        <v>62</v>
      </c>
      <c r="F41" t="str">
        <f>"split -b 23M -d "&amp;A41&amp;" "&amp;SUBSTITUTE(A41,".exe",".")</f>
        <v>split -b 23M -d podman-desktop-1.5.3-setup-x64.exe podman-desktop-1.5.3-setup-x64.</v>
      </c>
      <c r="G41" t="str">
        <f t="shared" si="3"/>
        <v xml:space="preserve">cat  &gt;&gt; </v>
      </c>
      <c r="H41" t="str">
        <f t="shared" si="4"/>
        <v xml:space="preserve">docker load &lt; </v>
      </c>
    </row>
    <row r="42" spans="1:8" x14ac:dyDescent="0.45">
      <c r="A42" t="s">
        <v>63</v>
      </c>
      <c r="F42" t="str">
        <f>"split -b 23M -d "&amp;A42&amp;" "&amp;SUBSTITUTE(A42,".exe",".")</f>
        <v>split -b 23M -d podman-desktop-airgap-1.5.3-setup-x64.exe podman-desktop-airgap-1.5.3-setup-x64.</v>
      </c>
      <c r="G42" t="str">
        <f t="shared" si="3"/>
        <v xml:space="preserve">cat  &gt;&gt; </v>
      </c>
      <c r="H42" t="str">
        <f t="shared" si="4"/>
        <v xml:space="preserve">docker load &lt; </v>
      </c>
    </row>
    <row r="43" spans="1:8" x14ac:dyDescent="0.45">
      <c r="G43" t="str">
        <f t="shared" si="3"/>
        <v xml:space="preserve">cat  &gt;&gt; </v>
      </c>
      <c r="H43" t="str">
        <f t="shared" si="4"/>
        <v xml:space="preserve">docker load &lt; </v>
      </c>
    </row>
    <row r="44" spans="1:8" x14ac:dyDescent="0.45">
      <c r="A44" t="s">
        <v>64</v>
      </c>
      <c r="B44">
        <v>2.2400000000000002</v>
      </c>
      <c r="D44" t="str">
        <f t="shared" ref="D44:D45" si="8">SUBSTITUTE(A44,"/","_")&amp;"_"&amp;SUBSTITUTE(B44,".","_")&amp;".tar.gz"</f>
        <v>openzipkin_zipkin-slim_2_24.tar.gz</v>
      </c>
      <c r="E44" t="str">
        <f t="shared" ref="E44:E45" si="9">"docker save "&amp;A44&amp;":"&amp;B44&amp;" | gzip &gt; "&amp;D44</f>
        <v>docker save openzipkin/zipkin-slim:2.24 | gzip &gt; openzipkin_zipkin-slim_2_24.tar.gz</v>
      </c>
      <c r="F44" t="str">
        <f t="shared" ref="F44:F45" si="10">"split -b 23M -d "&amp;D44&amp;" "&amp;SUBSTITUTE(D44,".tar.gz",".")</f>
        <v>split -b 23M -d openzipkin_zipkin-slim_2_24.tar.gz openzipkin_zipkin-slim_2_24.</v>
      </c>
      <c r="G44" t="str">
        <f t="shared" si="3"/>
        <v>cat openzipkin_zipkin-slim_2_24.* &gt;&gt; openzipkin_zipkin-slim_2_24.tar.gz</v>
      </c>
      <c r="H44" t="str">
        <f t="shared" si="4"/>
        <v>docker load &lt; openzipkin_zipkin-slim_2_24.tar.gz</v>
      </c>
    </row>
    <row r="45" spans="1:8" x14ac:dyDescent="0.45">
      <c r="A45" t="s">
        <v>65</v>
      </c>
      <c r="B45">
        <v>2.2400000000000002</v>
      </c>
      <c r="D45" t="str">
        <f t="shared" si="8"/>
        <v>openzipkin_zipkin_2_24.tar.gz</v>
      </c>
      <c r="E45" t="str">
        <f t="shared" si="9"/>
        <v>docker save openzipkin/zipkin:2.24 | gzip &gt; openzipkin_zipkin_2_24.tar.gz</v>
      </c>
      <c r="F45" t="str">
        <f t="shared" si="10"/>
        <v>split -b 23M -d openzipkin_zipkin_2_24.tar.gz openzipkin_zipkin_2_24.</v>
      </c>
      <c r="G45" t="str">
        <f t="shared" si="3"/>
        <v>cat openzipkin_zipkin_2_24.* &gt;&gt; openzipkin_zipkin_2_24.tar.gz</v>
      </c>
      <c r="H45" t="str">
        <f t="shared" si="4"/>
        <v>docker load &lt; openzipkin_zipkin_2_24.tar.gz</v>
      </c>
    </row>
    <row r="46" spans="1:8" x14ac:dyDescent="0.45">
      <c r="A46" t="s">
        <v>66</v>
      </c>
      <c r="B46" t="s">
        <v>67</v>
      </c>
      <c r="D46" t="str">
        <f t="shared" ref="D46:D53" si="11">SUBSTITUTE(A46,"/","_")&amp;"_"&amp;SUBSTITUTE(B46,".","_")&amp;".tar.gz"</f>
        <v>mcr.microsoft.com_mssql_server_2022-latest.tar.gz</v>
      </c>
      <c r="E46" t="str">
        <f t="shared" ref="E46:E53" si="12">"docker save "&amp;A46&amp;":"&amp;B46&amp;" | gzip &gt; "&amp;D46</f>
        <v>docker save mcr.microsoft.com/mssql/server:2022-latest | gzip &gt; mcr.microsoft.com_mssql_server_2022-latest.tar.gz</v>
      </c>
      <c r="F46" t="str">
        <f t="shared" ref="F46:F53" si="13">"split -b 23M -d "&amp;D46&amp;" "&amp;SUBSTITUTE(D46,".tar.gz",".")</f>
        <v>split -b 23M -d mcr.microsoft.com_mssql_server_2022-latest.tar.gz mcr.microsoft.com_mssql_server_2022-latest.</v>
      </c>
      <c r="G46" t="str">
        <f t="shared" si="3"/>
        <v>cat mcr.microsoft.com_mssql_server_2022-latest.* &gt;&gt; mcr.microsoft.com_mssql_server_2022-latest.tar.gz</v>
      </c>
      <c r="H46" t="str">
        <f t="shared" si="4"/>
        <v>docker load &lt; mcr.microsoft.com_mssql_server_2022-latest.tar.gz</v>
      </c>
    </row>
    <row r="47" spans="1:8" x14ac:dyDescent="0.45">
      <c r="A47" t="s">
        <v>68</v>
      </c>
      <c r="B47">
        <v>2023.4</v>
      </c>
      <c r="D47" t="str">
        <f t="shared" si="11"/>
        <v>datalust_seq_2023_4.tar.gz</v>
      </c>
      <c r="E47" t="str">
        <f t="shared" si="12"/>
        <v>docker save datalust/seq:2023.4 | gzip &gt; datalust_seq_2023_4.tar.gz</v>
      </c>
      <c r="F47" t="str">
        <f t="shared" si="13"/>
        <v>split -b 23M -d datalust_seq_2023_4.tar.gz datalust_seq_2023_4.</v>
      </c>
      <c r="G47" t="str">
        <f t="shared" si="3"/>
        <v>cat datalust_seq_2023_4.* &gt;&gt; datalust_seq_2023_4.tar.gz</v>
      </c>
      <c r="H47" t="str">
        <f t="shared" si="4"/>
        <v>docker load &lt; datalust_seq_2023_4.tar.gz</v>
      </c>
    </row>
    <row r="48" spans="1:8" x14ac:dyDescent="0.45">
      <c r="A48" t="s">
        <v>66</v>
      </c>
      <c r="B48" t="s">
        <v>69</v>
      </c>
      <c r="D48" t="str">
        <f t="shared" si="11"/>
        <v>mcr.microsoft.com_mssql_server_2019-latest.tar.gz</v>
      </c>
      <c r="E48" t="str">
        <f t="shared" si="12"/>
        <v>docker save mcr.microsoft.com/mssql/server:2019-latest | gzip &gt; mcr.microsoft.com_mssql_server_2019-latest.tar.gz</v>
      </c>
      <c r="F48" t="str">
        <f t="shared" si="13"/>
        <v>split -b 23M -d mcr.microsoft.com_mssql_server_2019-latest.tar.gz mcr.microsoft.com_mssql_server_2019-latest.</v>
      </c>
      <c r="G48" t="str">
        <f t="shared" si="3"/>
        <v>cat mcr.microsoft.com_mssql_server_2019-latest.* &gt;&gt; mcr.microsoft.com_mssql_server_2019-latest.tar.gz</v>
      </c>
      <c r="H48" t="str">
        <f t="shared" si="4"/>
        <v>docker load &lt; mcr.microsoft.com_mssql_server_2019-latest.tar.gz</v>
      </c>
    </row>
    <row r="49" spans="1:8" x14ac:dyDescent="0.45">
      <c r="A49" t="s">
        <v>70</v>
      </c>
      <c r="B49" t="s">
        <v>71</v>
      </c>
      <c r="D49" t="str">
        <f t="shared" si="11"/>
        <v>maildev_maildev_2_1_0.tar.gz</v>
      </c>
      <c r="E49" t="str">
        <f t="shared" si="12"/>
        <v>docker save maildev/maildev:2.1.0 | gzip &gt; maildev_maildev_2_1_0.tar.gz</v>
      </c>
      <c r="F49" t="str">
        <f t="shared" si="13"/>
        <v>split -b 23M -d maildev_maildev_2_1_0.tar.gz maildev_maildev_2_1_0.</v>
      </c>
      <c r="G49" t="str">
        <f t="shared" si="3"/>
        <v>cat maildev_maildev_2_1_0.* &gt;&gt; maildev_maildev_2_1_0.tar.gz</v>
      </c>
      <c r="H49" t="str">
        <f t="shared" si="4"/>
        <v>docker load &lt; maildev_maildev_2_1_0.tar.gz</v>
      </c>
    </row>
    <row r="50" spans="1:8" x14ac:dyDescent="0.45">
      <c r="A50" t="s">
        <v>72</v>
      </c>
      <c r="B50" t="s">
        <v>73</v>
      </c>
      <c r="D50" t="str">
        <f t="shared" si="11"/>
        <v>mcr.microsoft.com_azure-sql-edge_latest.tar.gz</v>
      </c>
      <c r="E50" t="str">
        <f t="shared" si="12"/>
        <v>docker save mcr.microsoft.com/azure-sql-edge:latest | gzip &gt; mcr.microsoft.com_azure-sql-edge_latest.tar.gz</v>
      </c>
      <c r="F50" t="str">
        <f t="shared" si="13"/>
        <v>split -b 23M -d mcr.microsoft.com_azure-sql-edge_latest.tar.gz mcr.microsoft.com_azure-sql-edge_latest.</v>
      </c>
      <c r="G50" t="str">
        <f t="shared" si="3"/>
        <v>cat mcr.microsoft.com_azure-sql-edge_latest.* &gt;&gt; mcr.microsoft.com_azure-sql-edge_latest.tar.gz</v>
      </c>
      <c r="H50" t="str">
        <f t="shared" si="4"/>
        <v>docker load &lt; mcr.microsoft.com_azure-sql-edge_latest.tar.gz</v>
      </c>
    </row>
    <row r="51" spans="1:8" x14ac:dyDescent="0.45">
      <c r="A51" t="s">
        <v>74</v>
      </c>
      <c r="B51" t="s">
        <v>14</v>
      </c>
      <c r="D51" t="str">
        <f t="shared" si="11"/>
        <v>logstash_8_11_1.tar.gz</v>
      </c>
      <c r="E51" t="str">
        <f t="shared" si="12"/>
        <v>docker save logstash:8.11.1 | gzip &gt; logstash_8_11_1.tar.gz</v>
      </c>
      <c r="F51" t="str">
        <f t="shared" si="13"/>
        <v>split -b 23M -d logstash_8_11_1.tar.gz logstash_8_11_1.</v>
      </c>
      <c r="G51" t="str">
        <f t="shared" si="3"/>
        <v>cat logstash_8_11_1.* &gt;&gt; logstash_8_11_1.tar.gz</v>
      </c>
      <c r="H51" t="str">
        <f t="shared" si="4"/>
        <v>docker load &lt; logstash_8_11_1.tar.gz</v>
      </c>
    </row>
    <row r="52" spans="1:8" x14ac:dyDescent="0.45">
      <c r="A52" t="s">
        <v>13</v>
      </c>
      <c r="B52" t="s">
        <v>75</v>
      </c>
      <c r="D52" t="str">
        <f t="shared" si="11"/>
        <v>elasticsearch_7_17_15.tar.gz</v>
      </c>
      <c r="E52" t="str">
        <f t="shared" si="12"/>
        <v>docker save elasticsearch:7.17.15 | gzip &gt; elasticsearch_7_17_15.tar.gz</v>
      </c>
      <c r="F52" t="str">
        <f t="shared" si="13"/>
        <v>split -b 23M -d elasticsearch_7_17_15.tar.gz elasticsearch_7_17_15.</v>
      </c>
      <c r="G52" t="str">
        <f t="shared" si="3"/>
        <v>cat elasticsearch_7_17_15.* &gt;&gt; elasticsearch_7_17_15.tar.gz</v>
      </c>
      <c r="H52" t="str">
        <f t="shared" si="4"/>
        <v>docker load &lt; elasticsearch_7_17_15.tar.gz</v>
      </c>
    </row>
    <row r="53" spans="1:8" x14ac:dyDescent="0.45">
      <c r="A53" t="s">
        <v>15</v>
      </c>
      <c r="B53" t="s">
        <v>75</v>
      </c>
      <c r="D53" t="str">
        <f t="shared" si="11"/>
        <v>kibana_7_17_15.tar.gz</v>
      </c>
      <c r="E53" t="str">
        <f t="shared" si="12"/>
        <v>docker save kibana:7.17.15 | gzip &gt; kibana_7_17_15.tar.gz</v>
      </c>
      <c r="F53" t="str">
        <f t="shared" si="13"/>
        <v>split -b 23M -d kibana_7_17_15.tar.gz kibana_7_17_15.</v>
      </c>
      <c r="G53" t="str">
        <f t="shared" si="3"/>
        <v>cat kibana_7_17_15.* &gt;&gt; kibana_7_17_15.tar.gz</v>
      </c>
      <c r="H53" t="str">
        <f t="shared" si="4"/>
        <v>docker load &lt; kibana_7_17_15.tar.gz</v>
      </c>
    </row>
    <row r="54" spans="1:8" x14ac:dyDescent="0.45">
      <c r="A54" t="s">
        <v>74</v>
      </c>
      <c r="B54" t="s">
        <v>75</v>
      </c>
      <c r="D54" t="str">
        <f t="shared" ref="D54:D58" si="14">SUBSTITUTE(A54,"/","_")&amp;"_"&amp;SUBSTITUTE(B54,".","_")&amp;".tar.gz"</f>
        <v>logstash_7_17_15.tar.gz</v>
      </c>
      <c r="E54" t="str">
        <f t="shared" ref="E54:E58" si="15">"docker save "&amp;A54&amp;":"&amp;B54&amp;" | gzip &gt; "&amp;D54</f>
        <v>docker save logstash:7.17.15 | gzip &gt; logstash_7_17_15.tar.gz</v>
      </c>
      <c r="F54" t="str">
        <f t="shared" ref="F54:F58" si="16">"split -b 23M -d "&amp;D54&amp;" "&amp;SUBSTITUTE(D54,".tar.gz",".")</f>
        <v>split -b 23M -d logstash_7_17_15.tar.gz logstash_7_17_15.</v>
      </c>
      <c r="G54" t="str">
        <f t="shared" si="3"/>
        <v>cat logstash_7_17_15.* &gt;&gt; logstash_7_17_15.tar.gz</v>
      </c>
      <c r="H54" t="str">
        <f t="shared" si="4"/>
        <v>docker load &lt; logstash_7_17_15.tar.gz</v>
      </c>
    </row>
    <row r="55" spans="1:8" x14ac:dyDescent="0.45">
      <c r="A55" t="s">
        <v>76</v>
      </c>
      <c r="B55" t="s">
        <v>77</v>
      </c>
      <c r="D55" t="str">
        <f t="shared" si="14"/>
        <v>kindest_node_v1_28_0.tar.gz</v>
      </c>
      <c r="E55" t="str">
        <f t="shared" si="15"/>
        <v>docker save kindest/node:v1.28.0 | gzip &gt; kindest_node_v1_28_0.tar.gz</v>
      </c>
      <c r="F55" t="str">
        <f t="shared" si="16"/>
        <v>split -b 23M -d kindest_node_v1_28_0.tar.gz kindest_node_v1_28_0.</v>
      </c>
      <c r="G55" t="str">
        <f t="shared" si="3"/>
        <v>cat kindest_node_v1_28_0.* &gt;&gt; kindest_node_v1_28_0.tar.gz</v>
      </c>
      <c r="H55" t="str">
        <f t="shared" si="4"/>
        <v>docker load &lt; kindest_node_v1_28_0.tar.gz</v>
      </c>
    </row>
    <row r="56" spans="1:8" x14ac:dyDescent="0.45">
      <c r="D56" t="str">
        <f t="shared" si="14"/>
        <v>_.tar.gz</v>
      </c>
      <c r="E56" t="str">
        <f t="shared" si="15"/>
        <v>docker save : | gzip &gt; _.tar.gz</v>
      </c>
      <c r="F56" t="str">
        <f t="shared" si="16"/>
        <v>split -b 23M -d _.tar.gz _.</v>
      </c>
      <c r="G56" t="str">
        <f t="shared" si="3"/>
        <v>cat _.* &gt;&gt; _.tar.gz</v>
      </c>
      <c r="H56" t="str">
        <f t="shared" si="4"/>
        <v>docker load &lt; _.tar.gz</v>
      </c>
    </row>
    <row r="57" spans="1:8" x14ac:dyDescent="0.45">
      <c r="D57" t="str">
        <f t="shared" si="14"/>
        <v>_.tar.gz</v>
      </c>
      <c r="E57" t="str">
        <f t="shared" si="15"/>
        <v>docker save : | gzip &gt; _.tar.gz</v>
      </c>
      <c r="F57" t="str">
        <f t="shared" si="16"/>
        <v>split -b 23M -d _.tar.gz _.</v>
      </c>
      <c r="G57" t="str">
        <f t="shared" si="3"/>
        <v>cat _.* &gt;&gt; _.tar.gz</v>
      </c>
      <c r="H57" t="str">
        <f t="shared" si="4"/>
        <v>docker load &lt; _.tar.gz</v>
      </c>
    </row>
    <row r="58" spans="1:8" x14ac:dyDescent="0.45">
      <c r="D58" t="str">
        <f t="shared" si="14"/>
        <v>_.tar.gz</v>
      </c>
      <c r="E58" t="str">
        <f t="shared" si="15"/>
        <v>docker save : | gzip &gt; _.tar.gz</v>
      </c>
      <c r="F58" t="str">
        <f t="shared" si="16"/>
        <v>split -b 23M -d _.tar.gz _.</v>
      </c>
      <c r="G58" t="str">
        <f t="shared" si="3"/>
        <v>cat _.* &gt;&gt; _.tar.gz</v>
      </c>
      <c r="H58" t="str">
        <f t="shared" si="4"/>
        <v>docker load &lt; _.tar.gz</v>
      </c>
    </row>
    <row r="59" spans="1:8" x14ac:dyDescent="0.45">
      <c r="G59" t="str">
        <f t="shared" si="3"/>
        <v xml:space="preserve">cat  &gt;&gt; </v>
      </c>
      <c r="H59" t="str">
        <f t="shared" si="4"/>
        <v xml:space="preserve">docker load &lt; </v>
      </c>
    </row>
    <row r="60" spans="1:8" x14ac:dyDescent="0.45">
      <c r="A60" t="s">
        <v>55</v>
      </c>
      <c r="B60" t="s">
        <v>78</v>
      </c>
      <c r="D60" t="str">
        <f t="shared" ref="D60:D61" si="17">SUBSTITUTE(A60,"/","_")&amp;"_"&amp;SUBSTITUTE(B60,".","_")&amp;".tar.gz"</f>
        <v>envoyproxy_envoy_v1_16_5.tar.gz</v>
      </c>
      <c r="E60" t="str">
        <f t="shared" ref="E60:E61" si="18">"docker save "&amp;A60&amp;":"&amp;B60&amp;" | gzip &gt; "&amp;D60</f>
        <v>docker save envoyproxy/envoy:v1.16.5 | gzip &gt; envoyproxy_envoy_v1_16_5.tar.gz</v>
      </c>
      <c r="F60" t="str">
        <f>"split -b 23M -d "&amp;D60&amp;" "&amp;SUBSTITUTE(D60,".tar.gz",".")</f>
        <v>split -b 23M -d envoyproxy_envoy_v1_16_5.tar.gz envoyproxy_envoy_v1_16_5.</v>
      </c>
      <c r="G60" t="str">
        <f t="shared" si="3"/>
        <v>cat envoyproxy_envoy_v1_16_5.* &gt;&gt; envoyproxy_envoy_v1_16_5.tar.gz</v>
      </c>
      <c r="H60" t="str">
        <f t="shared" si="4"/>
        <v>docker load &lt; envoyproxy_envoy_v1_16_5.tar.gz</v>
      </c>
    </row>
    <row r="61" spans="1:8" x14ac:dyDescent="0.45">
      <c r="A61" t="s">
        <v>55</v>
      </c>
      <c r="B61" t="s">
        <v>77</v>
      </c>
      <c r="D61" t="str">
        <f t="shared" si="17"/>
        <v>envoyproxy_envoy_v1_28_0.tar.gz</v>
      </c>
      <c r="E61" t="str">
        <f t="shared" si="18"/>
        <v>docker save envoyproxy/envoy:v1.28.0 | gzip &gt; envoyproxy_envoy_v1_28_0.tar.gz</v>
      </c>
      <c r="F61" t="str">
        <f t="shared" ref="F61:F62" si="19">"split -b 23M -d "&amp;D61&amp;" "&amp;SUBSTITUTE(D61,".tar.gz",".")</f>
        <v>split -b 23M -d envoyproxy_envoy_v1_28_0.tar.gz envoyproxy_envoy_v1_28_0.</v>
      </c>
      <c r="G61" t="str">
        <f t="shared" si="3"/>
        <v>cat envoyproxy_envoy_v1_28_0.* &gt;&gt; envoyproxy_envoy_v1_28_0.tar.gz</v>
      </c>
      <c r="H61" t="str">
        <f t="shared" si="4"/>
        <v>docker load &lt; envoyproxy_envoy_v1_28_0.tar.gz</v>
      </c>
    </row>
    <row r="62" spans="1:8" x14ac:dyDescent="0.45">
      <c r="A62" t="s">
        <v>79</v>
      </c>
      <c r="B62">
        <v>8.1</v>
      </c>
      <c r="D62" t="str">
        <f t="shared" ref="D62:D73" si="20">SUBSTITUTE(A62,"/","_")&amp;"_"&amp;SUBSTITUTE(B62,".","_")&amp;".tar.gz"</f>
        <v>dpage_pgadmin4_8_1.tar.gz</v>
      </c>
      <c r="E62" t="str">
        <f t="shared" ref="E62:E71" si="21">"docker save "&amp;A62&amp;":"&amp;B62&amp;" | gzip &gt; "&amp;D62</f>
        <v>docker save dpage/pgadmin4:8.1 | gzip &gt; dpage_pgadmin4_8_1.tar.gz</v>
      </c>
      <c r="F62" t="str">
        <f t="shared" si="19"/>
        <v>split -b 23M -d dpage_pgadmin4_8_1.tar.gz dpage_pgadmin4_8_1.</v>
      </c>
      <c r="G62" t="str">
        <f t="shared" si="3"/>
        <v>cat dpage_pgadmin4_8_1.* &gt;&gt; dpage_pgadmin4_8_1.tar.gz</v>
      </c>
      <c r="H62" t="str">
        <f t="shared" si="4"/>
        <v>docker load &lt; dpage_pgadmin4_8_1.tar.gz</v>
      </c>
    </row>
    <row r="63" spans="1:8" x14ac:dyDescent="0.45">
      <c r="A63" t="s">
        <v>81</v>
      </c>
      <c r="B63" t="s">
        <v>82</v>
      </c>
      <c r="D63" t="str">
        <f t="shared" si="20"/>
        <v>portainer_portainer-ce_2_19_4-alpine.tar.gz</v>
      </c>
      <c r="E63" t="str">
        <f t="shared" si="21"/>
        <v>docker save portainer/portainer-ce:2.19.4-alpine | gzip &gt; portainer_portainer-ce_2_19_4-alpine.tar.gz</v>
      </c>
      <c r="F63" t="str">
        <f t="shared" ref="F63:F71" si="22">"split -b 23M -d "&amp;D63&amp;" "&amp;SUBSTITUTE(D63,".tar.gz",".")</f>
        <v>split -b 23M -d portainer_portainer-ce_2_19_4-alpine.tar.gz portainer_portainer-ce_2_19_4-alpine.</v>
      </c>
      <c r="G63" t="str">
        <f t="shared" si="3"/>
        <v>cat portainer_portainer-ce_2_19_4-alpine.* &gt;&gt; portainer_portainer-ce_2_19_4-alpine.tar.gz</v>
      </c>
      <c r="H63" t="str">
        <f t="shared" si="4"/>
        <v>docker load &lt; portainer_portainer-ce_2_19_4-alpine.tar.gz</v>
      </c>
    </row>
    <row r="64" spans="1:8" x14ac:dyDescent="0.45">
      <c r="A64" t="s">
        <v>80</v>
      </c>
      <c r="B64" t="s">
        <v>83</v>
      </c>
      <c r="D64" t="str">
        <f t="shared" si="20"/>
        <v>portainer_portainer-ce_2_19_4.tar.gz</v>
      </c>
      <c r="E64" t="str">
        <f t="shared" si="21"/>
        <v>docker save portainer/portainer-ce:2.19.4 | gzip &gt; portainer_portainer-ce_2_19_4.tar.gz</v>
      </c>
      <c r="F64" t="str">
        <f t="shared" si="22"/>
        <v>split -b 23M -d portainer_portainer-ce_2_19_4.tar.gz portainer_portainer-ce_2_19_4.</v>
      </c>
      <c r="G64" t="str">
        <f t="shared" si="3"/>
        <v>cat portainer_portainer-ce_2_19_4.* &gt;&gt; portainer_portainer-ce_2_19_4.tar.gz</v>
      </c>
      <c r="H64" t="str">
        <f t="shared" si="4"/>
        <v>docker load &lt; portainer_portainer-ce_2_19_4.tar.gz</v>
      </c>
    </row>
    <row r="65" spans="1:8" x14ac:dyDescent="0.45">
      <c r="A65" t="s">
        <v>85</v>
      </c>
      <c r="B65" t="s">
        <v>86</v>
      </c>
      <c r="D65" t="str">
        <f t="shared" si="20"/>
        <v>masstransit_rabbitmq_3_12_7.tar.gz</v>
      </c>
      <c r="E65" t="str">
        <f t="shared" si="21"/>
        <v>docker save masstransit/rabbitmq:3.12.7 | gzip &gt; masstransit_rabbitmq_3_12_7.tar.gz</v>
      </c>
      <c r="F65" t="str">
        <f t="shared" si="22"/>
        <v>split -b 23M -d masstransit_rabbitmq_3_12_7.tar.gz masstransit_rabbitmq_3_12_7.</v>
      </c>
      <c r="G65" t="str">
        <f t="shared" si="3"/>
        <v>cat masstransit_rabbitmq_3_12_7.* &gt;&gt; masstransit_rabbitmq_3_12_7.tar.gz</v>
      </c>
      <c r="H65" t="str">
        <f t="shared" si="4"/>
        <v>docker load &lt; masstransit_rabbitmq_3_12_7.tar.gz</v>
      </c>
    </row>
    <row r="66" spans="1:8" s="3" customFormat="1" x14ac:dyDescent="0.45">
      <c r="A66" s="3" t="s">
        <v>94</v>
      </c>
      <c r="B66" s="3" t="s">
        <v>87</v>
      </c>
      <c r="D66" s="3" t="str">
        <f t="shared" si="20"/>
        <v>docker.elastic.co_kibana_kibana_8_11_3.tar.gz</v>
      </c>
      <c r="E66" s="3" t="str">
        <f t="shared" si="21"/>
        <v>docker save docker.elastic.co/kibana/kibana:8.11.3 | gzip &gt; docker.elastic.co_kibana_kibana_8_11_3.tar.gz</v>
      </c>
      <c r="F66" s="3" t="str">
        <f t="shared" si="22"/>
        <v>split -b 23M -d docker.elastic.co_kibana_kibana_8_11_3.tar.gz docker.elastic.co_kibana_kibana_8_11_3.</v>
      </c>
      <c r="G66" s="3" t="str">
        <f t="shared" si="3"/>
        <v>cat docker.elastic.co_kibana_kibana_8_11_3.* &gt;&gt; docker.elastic.co_kibana_kibana_8_11_3.tar.gz</v>
      </c>
      <c r="H66" s="3" t="str">
        <f t="shared" si="4"/>
        <v>docker load &lt; docker.elastic.co_kibana_kibana_8_11_3.tar.gz</v>
      </c>
    </row>
    <row r="67" spans="1:8" s="3" customFormat="1" x14ac:dyDescent="0.45">
      <c r="A67" s="3" t="s">
        <v>95</v>
      </c>
      <c r="B67" s="3" t="s">
        <v>87</v>
      </c>
      <c r="D67" s="3" t="str">
        <f t="shared" si="20"/>
        <v>docker.elastic.co_elasticsearch_elasticsearch_8_11_3.tar.gz</v>
      </c>
      <c r="E67" s="3" t="str">
        <f t="shared" si="21"/>
        <v>docker save docker.elastic.co/elasticsearch/elasticsearch:8.11.3 | gzip &gt; docker.elastic.co_elasticsearch_elasticsearch_8_11_3.tar.gz</v>
      </c>
      <c r="F67" s="3" t="str">
        <f t="shared" si="22"/>
        <v>split -b 23M -d docker.elastic.co_elasticsearch_elasticsearch_8_11_3.tar.gz docker.elastic.co_elasticsearch_elasticsearch_8_11_3.</v>
      </c>
      <c r="G67" s="3" t="str">
        <f t="shared" ref="G67:G71" si="23">"cat "&amp;SUBSTITUTE(D67,".tar.gz",".*")&amp;" &gt;&gt; "&amp;D67</f>
        <v>cat docker.elastic.co_elasticsearch_elasticsearch_8_11_3.* &gt;&gt; docker.elastic.co_elasticsearch_elasticsearch_8_11_3.tar.gz</v>
      </c>
      <c r="H67" s="3" t="str">
        <f t="shared" ref="H67:H71" si="24">"docker load &lt; "&amp;D67</f>
        <v>docker load &lt; docker.elastic.co_elasticsearch_elasticsearch_8_11_3.tar.gz</v>
      </c>
    </row>
    <row r="68" spans="1:8" s="3" customFormat="1" x14ac:dyDescent="0.45">
      <c r="A68" s="3" t="s">
        <v>88</v>
      </c>
      <c r="B68" s="3" t="s">
        <v>87</v>
      </c>
      <c r="D68" s="3" t="str">
        <f t="shared" si="20"/>
        <v>docker.elastic.co_beats_heartbeat_8_11_3.tar.gz</v>
      </c>
      <c r="E68" s="3" t="str">
        <f t="shared" ref="E68:E73" si="25">"docker save "&amp;A68&amp;":"&amp;B68&amp;" | gzip &gt; "&amp;D68</f>
        <v>docker save docker.elastic.co/beats/heartbeat:8.11.3 | gzip &gt; docker.elastic.co_beats_heartbeat_8_11_3.tar.gz</v>
      </c>
      <c r="F68" s="3" t="str">
        <f t="shared" ref="F68:F73" si="26">"split -b 23M -d "&amp;D68&amp;" "&amp;SUBSTITUTE(D68,".tar.gz",".")</f>
        <v>split -b 23M -d docker.elastic.co_beats_heartbeat_8_11_3.tar.gz docker.elastic.co_beats_heartbeat_8_11_3.</v>
      </c>
      <c r="G68" s="3" t="str">
        <f t="shared" si="23"/>
        <v>cat docker.elastic.co_beats_heartbeat_8_11_3.* &gt;&gt; docker.elastic.co_beats_heartbeat_8_11_3.tar.gz</v>
      </c>
      <c r="H68" s="3" t="str">
        <f t="shared" si="24"/>
        <v>docker load &lt; docker.elastic.co_beats_heartbeat_8_11_3.tar.gz</v>
      </c>
    </row>
    <row r="69" spans="1:8" s="3" customFormat="1" x14ac:dyDescent="0.45">
      <c r="A69" s="3" t="s">
        <v>89</v>
      </c>
      <c r="B69" s="3" t="s">
        <v>87</v>
      </c>
      <c r="D69" s="3" t="str">
        <f t="shared" si="20"/>
        <v>docker.elastic.co_beats_metricbeat_8_11_3.tar.gz</v>
      </c>
      <c r="E69" s="3" t="str">
        <f t="shared" si="25"/>
        <v>docker save docker.elastic.co/beats/metricbeat:8.11.3 | gzip &gt; docker.elastic.co_beats_metricbeat_8_11_3.tar.gz</v>
      </c>
      <c r="F69" s="3" t="str">
        <f t="shared" si="26"/>
        <v>split -b 23M -d docker.elastic.co_beats_metricbeat_8_11_3.tar.gz docker.elastic.co_beats_metricbeat_8_11_3.</v>
      </c>
      <c r="G69" s="3" t="str">
        <f t="shared" ref="G69:G73" si="27">"cat "&amp;SUBSTITUTE(D69,".tar.gz",".*")&amp;" &gt;&gt; "&amp;D69</f>
        <v>cat docker.elastic.co_beats_metricbeat_8_11_3.* &gt;&gt; docker.elastic.co_beats_metricbeat_8_11_3.tar.gz</v>
      </c>
      <c r="H69" s="3" t="str">
        <f t="shared" ref="H69:H73" si="28">"docker load &lt; "&amp;D69</f>
        <v>docker load &lt; docker.elastic.co_beats_metricbeat_8_11_3.tar.gz</v>
      </c>
    </row>
    <row r="70" spans="1:8" s="3" customFormat="1" x14ac:dyDescent="0.45">
      <c r="A70" s="3" t="s">
        <v>90</v>
      </c>
      <c r="B70" s="3" t="s">
        <v>87</v>
      </c>
      <c r="D70" s="3" t="str">
        <f t="shared" si="20"/>
        <v>docker.elastic.co_beats_packetbeat_8_11_3.tar.gz</v>
      </c>
      <c r="E70" s="3" t="str">
        <f t="shared" si="25"/>
        <v>docker save docker.elastic.co/beats/packetbeat:8.11.3 | gzip &gt; docker.elastic.co_beats_packetbeat_8_11_3.tar.gz</v>
      </c>
      <c r="F70" s="3" t="str">
        <f t="shared" si="26"/>
        <v>split -b 23M -d docker.elastic.co_beats_packetbeat_8_11_3.tar.gz docker.elastic.co_beats_packetbeat_8_11_3.</v>
      </c>
      <c r="G70" s="3" t="str">
        <f t="shared" si="27"/>
        <v>cat docker.elastic.co_beats_packetbeat_8_11_3.* &gt;&gt; docker.elastic.co_beats_packetbeat_8_11_3.tar.gz</v>
      </c>
      <c r="H70" s="3" t="str">
        <f t="shared" si="28"/>
        <v>docker load &lt; docker.elastic.co_beats_packetbeat_8_11_3.tar.gz</v>
      </c>
    </row>
    <row r="71" spans="1:8" s="3" customFormat="1" x14ac:dyDescent="0.45">
      <c r="A71" s="3" t="s">
        <v>91</v>
      </c>
      <c r="B71" s="3" t="s">
        <v>87</v>
      </c>
      <c r="D71" s="3" t="str">
        <f t="shared" si="20"/>
        <v>docker.elastic.co_beats_filebeat_8_11_3.tar.gz</v>
      </c>
      <c r="E71" s="3" t="str">
        <f t="shared" si="25"/>
        <v>docker save docker.elastic.co/beats/filebeat:8.11.3 | gzip &gt; docker.elastic.co_beats_filebeat_8_11_3.tar.gz</v>
      </c>
      <c r="F71" s="3" t="str">
        <f t="shared" si="26"/>
        <v>split -b 23M -d docker.elastic.co_beats_filebeat_8_11_3.tar.gz docker.elastic.co_beats_filebeat_8_11_3.</v>
      </c>
      <c r="G71" s="3" t="str">
        <f t="shared" si="27"/>
        <v>cat docker.elastic.co_beats_filebeat_8_11_3.* &gt;&gt; docker.elastic.co_beats_filebeat_8_11_3.tar.gz</v>
      </c>
      <c r="H71" s="3" t="str">
        <f t="shared" si="28"/>
        <v>docker load &lt; docker.elastic.co_beats_filebeat_8_11_3.tar.gz</v>
      </c>
    </row>
    <row r="72" spans="1:8" s="3" customFormat="1" x14ac:dyDescent="0.45">
      <c r="A72" s="3" t="s">
        <v>92</v>
      </c>
      <c r="B72" s="3" t="s">
        <v>87</v>
      </c>
      <c r="D72" s="3" t="str">
        <f t="shared" si="20"/>
        <v>docker.elastic.co_beats_auditbeat_8_11_3.tar.gz</v>
      </c>
      <c r="E72" s="3" t="str">
        <f t="shared" si="25"/>
        <v>docker save docker.elastic.co/beats/auditbeat:8.11.3 | gzip &gt; docker.elastic.co_beats_auditbeat_8_11_3.tar.gz</v>
      </c>
      <c r="F72" s="3" t="str">
        <f t="shared" si="26"/>
        <v>split -b 23M -d docker.elastic.co_beats_auditbeat_8_11_3.tar.gz docker.elastic.co_beats_auditbeat_8_11_3.</v>
      </c>
      <c r="G72" s="3" t="str">
        <f t="shared" si="27"/>
        <v>cat docker.elastic.co_beats_auditbeat_8_11_3.* &gt;&gt; docker.elastic.co_beats_auditbeat_8_11_3.tar.gz</v>
      </c>
      <c r="H72" s="3" t="str">
        <f t="shared" si="28"/>
        <v>docker load &lt; docker.elastic.co_beats_auditbeat_8_11_3.tar.gz</v>
      </c>
    </row>
    <row r="73" spans="1:8" s="3" customFormat="1" x14ac:dyDescent="0.45">
      <c r="A73" s="3" t="s">
        <v>93</v>
      </c>
      <c r="B73" s="3" t="s">
        <v>87</v>
      </c>
      <c r="D73" s="3" t="str">
        <f t="shared" si="20"/>
        <v>docker.elastic.co_logstash_logstash_8_11_3.tar.gz</v>
      </c>
      <c r="E73" s="3" t="str">
        <f t="shared" si="25"/>
        <v>docker save docker.elastic.co/logstash/logstash:8.11.3 | gzip &gt; docker.elastic.co_logstash_logstash_8_11_3.tar.gz</v>
      </c>
      <c r="F73" s="3" t="str">
        <f t="shared" si="26"/>
        <v>split -b 23M -d docker.elastic.co_logstash_logstash_8_11_3.tar.gz docker.elastic.co_logstash_logstash_8_11_3.</v>
      </c>
      <c r="G73" s="3" t="str">
        <f t="shared" si="27"/>
        <v>cat docker.elastic.co_logstash_logstash_8_11_3.* &gt;&gt; docker.elastic.co_logstash_logstash_8_11_3.tar.gz</v>
      </c>
      <c r="H73" s="3" t="str">
        <f t="shared" si="28"/>
        <v>docker load &lt; docker.elastic.co_logstash_logstash_8_11_3.tar.gz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Hatsuyama</dc:creator>
  <cp:lastModifiedBy>Hatsuyama</cp:lastModifiedBy>
  <dcterms:created xsi:type="dcterms:W3CDTF">2023-11-21T00:27:05Z</dcterms:created>
  <dcterms:modified xsi:type="dcterms:W3CDTF">2024-01-08T00:51:24Z</dcterms:modified>
</cp:coreProperties>
</file>